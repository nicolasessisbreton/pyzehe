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-5355" yWindow="-21135" windowWidth="20730" windowHeight="11760" tabRatio="500" activeTab="2"/>
  </bookViews>
  <sheets>
    <sheet name="pvt" sheetId="1" r:id="rId1"/>
    <sheet name="annuity_factor" sheetId="3" r:id="rId2"/>
    <sheet name="hist" sheetId="4" r:id="rId3"/>
    <sheet name="xlwings.conf" sheetId="2" r:id="rId4"/>
  </sheets>
  <functionGroups builtInGroupCount="17">
    <functionGroup name="xlwings"/>
  </functionGroups>
  <calcPr calcId="145621" concurrentCalc="0"/>
  <extLst>
    <ext xmlns:x14="http://schemas.microsoft.com/office/spreadsheetml/2009/9/main" uri="{8193D73E-4604-4355-AFF4-8A2333D13BE4}">
      <x14:definedNames>
        <x14:definedName name="annuity_factor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plot_premium_hist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4" l="1"/>
  <c r="F7" i="3"/>
  <c r="F6" i="3"/>
  <c r="F5" i="3"/>
  <c r="F4" i="3"/>
  <c r="F3" i="3"/>
  <c r="F2" i="3"/>
  <c r="A1" i="1" a="1"/>
  <c r="A1" i="1"/>
</calcChain>
</file>

<file path=xl/sharedStrings.xml><?xml version="1.0" encoding="utf-8"?>
<sst xmlns="http://schemas.openxmlformats.org/spreadsheetml/2006/main" count="41" uniqueCount="23">
  <si>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</si>
  <si>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</si>
  <si>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</si>
  <si>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</si>
  <si>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</si>
  <si>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</si>
  <si>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</si>
  <si>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</si>
  <si>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</si>
  <si>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</si>
  <si>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</si>
  <si>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female</t>
  </si>
  <si>
    <t>male</t>
  </si>
  <si>
    <t>age_start</t>
  </si>
  <si>
    <t>table</t>
  </si>
  <si>
    <t>gender</t>
  </si>
  <si>
    <t>annuity_duration</t>
  </si>
  <si>
    <t>premium</t>
  </si>
  <si>
    <t>mgdb</t>
  </si>
  <si>
    <t>gam83</t>
  </si>
  <si>
    <t>up94</t>
  </si>
  <si>
    <t>interest_rate</t>
  </si>
  <si>
    <t>nb bins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</si>
</sst>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190501</xdr:colOff>
      <xdr:row>3</xdr:row>
      <xdr:rowOff>76199</xdr:rowOff>
    </xdr:from>
    <xdr:to>
      <xdr:col>7</xdr:col>
      <xdr:colOff>704851</xdr:colOff>
      <xdr:row>24</xdr:row>
      <xdr:rowOff>95249</xdr:rowOff>
    </xdr:to>
    <xdr:pic>
      <xdr:nvPicPr>
        <xdr:cNvPr id="6" name="premium_hist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8701" y="676274"/>
          <a:ext cx="5543550" cy="42195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K11"/>
  <sheetViews>
    <sheetView workbookViewId="0">
      <selection activeCell="A15" sqref="A15"/>
    </sheetView>
  </sheetViews>
  <sheetFormatPr baseColWidth="10" defaultColWidth="11" defaultRowHeight="15.75" x14ac:dyDescent="0.25"/>
  <cols>
    <col min="4" max="4" width="16.125" bestFit="1" customWidth="1"/>
  </cols>
  <sheetData>
    <row r="1" spans="1:11" x14ac:dyDescent="0.25">
      <c r="A1" t="str">
        <f t="array" ref="A1">show()</f>
        <v/>
      </c>
      <c r="B1" t="s">
        <v>11</v>
      </c>
      <c r="C1" t="s">
        <v>11</v>
      </c>
      <c r="D1" t="s">
        <v>11</v>
      </c>
      <c r="E1" t="s">
        <v>11</v>
      </c>
      <c r="F1" t="s">
        <v>12</v>
      </c>
      <c r="G1" t="s">
        <v>12</v>
      </c>
      <c r="H1" t="s">
        <v>12</v>
      </c>
      <c r="I1" t="s">
        <v>12</v>
      </c>
      <c r="J1" t="s">
        <v>12</v>
      </c>
      <c r="K1" t="s">
        <v>12</v>
      </c>
    </row>
    <row r="2" spans="1:11" x14ac:dyDescent="0.25">
      <c r="A2" t="s">
        <v>13</v>
      </c>
      <c r="B2">
        <v>7</v>
      </c>
      <c r="C2">
        <v>24</v>
      </c>
      <c r="D2">
        <v>28</v>
      </c>
      <c r="E2">
        <v>40</v>
      </c>
      <c r="F2">
        <v>1</v>
      </c>
      <c r="G2">
        <v>11</v>
      </c>
      <c r="H2">
        <v>15</v>
      </c>
      <c r="I2">
        <v>20</v>
      </c>
      <c r="J2">
        <v>22</v>
      </c>
      <c r="K2">
        <v>26</v>
      </c>
    </row>
    <row r="3" spans="1:11" x14ac:dyDescent="0.25">
      <c r="A3">
        <v>35</v>
      </c>
      <c r="D3">
        <v>19.447361989600857</v>
      </c>
    </row>
    <row r="4" spans="1:11" x14ac:dyDescent="0.25">
      <c r="A4">
        <v>37</v>
      </c>
      <c r="B4">
        <v>7.2116099950096633</v>
      </c>
    </row>
    <row r="5" spans="1:11" x14ac:dyDescent="0.25">
      <c r="A5">
        <v>38</v>
      </c>
      <c r="F5">
        <v>1.9697951456310681</v>
      </c>
    </row>
    <row r="6" spans="1:11" x14ac:dyDescent="0.25">
      <c r="A6">
        <v>42</v>
      </c>
      <c r="C6">
        <v>17.567590850319633</v>
      </c>
      <c r="E6">
        <v>22.476912516538899</v>
      </c>
    </row>
    <row r="7" spans="1:11" x14ac:dyDescent="0.25">
      <c r="A7">
        <v>44</v>
      </c>
      <c r="G7">
        <v>10.11325340051469</v>
      </c>
    </row>
    <row r="8" spans="1:11" x14ac:dyDescent="0.25">
      <c r="A8">
        <v>46</v>
      </c>
      <c r="I8">
        <v>15.267540804735319</v>
      </c>
    </row>
    <row r="9" spans="1:11" x14ac:dyDescent="0.25">
      <c r="A9">
        <v>49</v>
      </c>
      <c r="K9">
        <v>17.253003859259646</v>
      </c>
    </row>
    <row r="10" spans="1:11" x14ac:dyDescent="0.25">
      <c r="A10">
        <v>56</v>
      </c>
      <c r="J10">
        <v>14.785083393688542</v>
      </c>
    </row>
    <row r="11" spans="1:11" x14ac:dyDescent="0.25">
      <c r="A11">
        <v>59</v>
      </c>
      <c r="H11">
        <v>11.68486460120649</v>
      </c>
    </row>
  </sheetData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F7"/>
  <sheetViews>
    <sheetView workbookViewId="0">
      <selection activeCell="A17" sqref="A17"/>
    </sheetView>
  </sheetViews>
  <sheetFormatPr baseColWidth="10" defaultRowHeight="15.75" x14ac:dyDescent="0.25"/>
  <sheetData>
    <row r="1" spans="1:6" x14ac:dyDescent="0.25">
      <c r="A1" s="1" t="s">
        <v>14</v>
      </c>
      <c r="B1" s="1" t="s">
        <v>15</v>
      </c>
      <c r="C1" s="1" t="s">
        <v>21</v>
      </c>
      <c r="D1" s="1" t="s">
        <v>13</v>
      </c>
      <c r="E1" s="1" t="s">
        <v>16</v>
      </c>
      <c r="F1" s="1" t="s">
        <v>17</v>
      </c>
    </row>
    <row r="2" spans="1:6" x14ac:dyDescent="0.25">
      <c r="A2" t="s">
        <v>18</v>
      </c>
      <c r="B2" t="s">
        <v>11</v>
      </c>
      <c r="C2">
        <v>0.03</v>
      </c>
      <c r="D2">
        <v>40</v>
      </c>
      <c r="E2">
        <v>10</v>
      </c>
      <c r="F2">
        <f t="shared" ref="F2:F7" si="0">annuity_factor(A2,B2,C2,D2,E2)</f>
        <v>9.4808088687099712</v>
      </c>
    </row>
    <row r="3" spans="1:6" x14ac:dyDescent="0.25">
      <c r="A3" t="s">
        <v>18</v>
      </c>
      <c r="B3" t="s">
        <v>11</v>
      </c>
      <c r="C3">
        <v>0.03</v>
      </c>
      <c r="D3">
        <v>40</v>
      </c>
      <c r="E3">
        <v>10</v>
      </c>
      <c r="F3">
        <f t="shared" si="0"/>
        <v>9.4808088687099712</v>
      </c>
    </row>
    <row r="4" spans="1:6" x14ac:dyDescent="0.25">
      <c r="A4" t="s">
        <v>19</v>
      </c>
      <c r="B4" t="s">
        <v>12</v>
      </c>
      <c r="C4">
        <v>0.04</v>
      </c>
      <c r="D4">
        <v>30</v>
      </c>
      <c r="E4">
        <v>5</v>
      </c>
      <c r="F4">
        <f t="shared" si="0"/>
        <v>5.441640008703243</v>
      </c>
    </row>
    <row r="5" spans="1:6" x14ac:dyDescent="0.25">
      <c r="A5" t="s">
        <v>19</v>
      </c>
      <c r="B5" t="s">
        <v>12</v>
      </c>
      <c r="C5">
        <v>0.04</v>
      </c>
      <c r="D5">
        <v>40</v>
      </c>
      <c r="E5">
        <v>10</v>
      </c>
      <c r="F5">
        <f t="shared" si="0"/>
        <v>9.0183124761143141</v>
      </c>
    </row>
    <row r="6" spans="1:6" x14ac:dyDescent="0.25">
      <c r="A6" t="s">
        <v>20</v>
      </c>
      <c r="B6" t="s">
        <v>11</v>
      </c>
      <c r="C6">
        <v>0.06</v>
      </c>
      <c r="D6">
        <v>20</v>
      </c>
      <c r="E6">
        <v>5</v>
      </c>
      <c r="F6">
        <f t="shared" si="0"/>
        <v>5.2085909156642733</v>
      </c>
    </row>
    <row r="7" spans="1:6" x14ac:dyDescent="0.25">
      <c r="A7" t="s">
        <v>20</v>
      </c>
      <c r="B7" t="s">
        <v>11</v>
      </c>
      <c r="C7">
        <v>0.06</v>
      </c>
      <c r="D7">
        <v>25</v>
      </c>
      <c r="E7">
        <v>10</v>
      </c>
      <c r="F7">
        <f t="shared" si="0"/>
        <v>8.3467378961492926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B3"/>
  <sheetViews>
    <sheetView tabSelected="1" workbookViewId="0">
      <selection activeCell="B2" sqref="B2"/>
    </sheetView>
  </sheetViews>
  <sheetFormatPr baseColWidth="10" defaultRowHeight="15.75" x14ac:dyDescent="0.25"/>
  <sheetData>
    <row r="1" spans="1:2" x14ac:dyDescent="0.25">
      <c r="A1" t="s">
        <v>22</v>
      </c>
      <c r="B1">
        <v>10</v>
      </c>
    </row>
    <row r="3" spans="1:2" x14ac:dyDescent="0.25">
      <c r="A3" t="str">
        <f>plot_premium_hist(B1)</f>
        <v>premium hist with 10 bins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B16"/>
  <sheetViews>
    <sheetView workbookViewId="0"/>
  </sheetViews>
  <sheetFormatPr baseColWidth="10" defaultColWidth="8.875" defaultRowHeight="15.75" x14ac:dyDescent="0.25"/>
  <cols>
    <col min="1" max="1" width="13.5" bestFit="1" customWidth="1"/>
    <col min="2" max="2" width="9.125" customWidth="1"/>
  </cols>
  <sheetData>
    <row r="1" spans="1:2" x14ac:dyDescent="0.25">
      <c r="A1" t="s">
        <v>0</v>
      </c>
      <c r="B1" t="s">
        <v>6</v>
      </c>
    </row>
    <row r="2" spans="1:2" x14ac:dyDescent="0.25">
      <c r="A2" t="s">
        <v>1</v>
      </c>
    </row>
    <row r="3" spans="1:2" x14ac:dyDescent="0.25">
      <c r="A3" t="s">
        <v>2</v>
      </c>
    </row>
    <row r="4" spans="1:2" x14ac:dyDescent="0.25">
      <c r="A4" t="s">
        <v>3</v>
      </c>
      <c r="B4" t="b">
        <v>0</v>
      </c>
    </row>
    <row r="5" spans="1:2" x14ac:dyDescent="0.25">
      <c r="A5" t="s">
        <v>4</v>
      </c>
    </row>
    <row r="6" spans="1:2" x14ac:dyDescent="0.25">
      <c r="A6" t="s">
        <v>5</v>
      </c>
      <c r="B6" t="b">
        <v>0</v>
      </c>
    </row>
    <row r="13" spans="1:2" x14ac:dyDescent="0.25">
      <c r="A13" s="1" t="s">
        <v>7</v>
      </c>
    </row>
    <row r="14" spans="1:2" x14ac:dyDescent="0.25">
      <c r="A14" t="s">
        <v>9</v>
      </c>
    </row>
    <row r="15" spans="1:2" x14ac:dyDescent="0.25">
      <c r="A15" t="s">
        <v>10</v>
      </c>
    </row>
    <row r="16" spans="1:2" x14ac:dyDescent="0.25">
      <c r="A16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pvt</vt:lpstr>
      <vt:lpstr>annuity_factor</vt:lpstr>
      <vt:lpstr>hist</vt:lpstr>
      <vt:lpstr>xlwings.conf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Nicolas Essis-Breton</cp:lastModifiedBy>
  <dcterms:created xsi:type="dcterms:W3CDTF">2015-01-25T11:31:25Z</dcterms:created>
  <dcterms:modified xsi:type="dcterms:W3CDTF">2018-05-27T21:27:45Z</dcterms:modified>
</cp:coreProperties>
</file>