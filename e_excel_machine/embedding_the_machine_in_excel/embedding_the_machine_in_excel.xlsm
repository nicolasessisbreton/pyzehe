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5355" yWindow="-21135" windowWidth="20730" windowHeight="11760" tabRatio="500"/>
  </bookViews>
  <sheets>
    <sheet name="options" sheetId="1" r:id="rId1"/>
    <sheet name="xlwings.conf" sheetId="2" r:id="rId2"/>
  </sheets>
  <functionGroups builtInGroupCount="17">
    <functionGroup name="xlwings"/>
  </functionGroups>
  <calcPr calcId="145621" concurrentCalc="0"/>
  <extLst>
    <ext xmlns:x14="http://schemas.microsoft.com/office/spreadsheetml/2009/9/main" uri="{8193D73E-4604-4355-AFF4-8A2333D13BE4}">
      <x14:definedNames>
        <x14:definedName name="parallel_eval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D4" i="1"/>
  <c r="D5" i="1"/>
  <c r="D10" i="1"/>
  <c r="D15" i="1"/>
  <c r="D20" i="1"/>
  <c r="D9" i="1"/>
  <c r="D14" i="1"/>
  <c r="D19" i="1"/>
  <c r="D8" i="1"/>
  <c r="D13" i="1"/>
  <c r="D18" i="1"/>
  <c r="D7" i="1"/>
  <c r="D12" i="1"/>
  <c r="D17" i="1"/>
  <c r="A3" i="1"/>
  <c r="C3" i="1"/>
  <c r="A4" i="1"/>
  <c r="C4" i="1"/>
  <c r="A5" i="1"/>
  <c r="C5" i="1"/>
  <c r="A6" i="1"/>
  <c r="C6" i="1"/>
  <c r="D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D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D16" i="1"/>
  <c r="A17" i="1"/>
  <c r="B17" i="1"/>
  <c r="C17" i="1"/>
  <c r="A18" i="1"/>
  <c r="B18" i="1"/>
  <c r="C18" i="1"/>
  <c r="A19" i="1"/>
  <c r="B19" i="1"/>
  <c r="C19" i="1"/>
  <c r="A20" i="1"/>
  <c r="B20" i="1"/>
  <c r="C20" i="1"/>
  <c r="E2" i="1" a="1"/>
  <c r="E2" i="1"/>
</calcChain>
</file>

<file path=xl/sharedStrings.xml><?xml version="1.0" encoding="utf-8"?>
<sst xmlns="http://schemas.openxmlformats.org/spreadsheetml/2006/main" count="16" uniqueCount="16">
  <si>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</si>
  <si>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</si>
  <si>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</si>
  <si>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</si>
  <si>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</si>
  <si>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</si>
  <si>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</si>
  <si>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</si>
  <si>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</si>
  <si>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</si>
  <si>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</si>
  <si>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interest rate</t>
  </si>
  <si>
    <t>strike</t>
  </si>
  <si>
    <t>sigma</t>
  </si>
  <si>
    <t>S_0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</si>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</sst>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20"/>
  <sheetViews>
    <sheetView tabSelected="1" workbookViewId="0">
      <selection activeCell="A20" sqref="A20"/>
    </sheetView>
  </sheetViews>
  <sheetFormatPr baseColWidth="10" defaultColWidth="11" defaultRowHeight="15.75" x14ac:dyDescent="0.25"/>
  <cols>
    <col min="1" max="1" width="11.5" bestFit="1" customWidth="1"/>
    <col min="2" max="2" width="5.625" bestFit="1" customWidth="1"/>
    <col min="3" max="3" width="5.75" bestFit="1" customWidth="1"/>
    <col min="4" max="4" width="3.875" bestFit="1" customWidth="1"/>
  </cols>
  <sheetData>
    <row r="1" spans="1:5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</row>
    <row r="2" spans="1:5" x14ac:dyDescent="0.25">
      <c r="A2">
        <v>0.01</v>
      </c>
      <c r="B2">
        <v>40</v>
      </c>
      <c r="C2">
        <v>0.05</v>
      </c>
      <c r="D2">
        <v>30</v>
      </c>
      <c r="E2">
        <f t="array" ref="E2">parallel_eval(A2:D20)</f>
        <v>11.218182820468686</v>
      </c>
    </row>
    <row r="3" spans="1:5" x14ac:dyDescent="0.25">
      <c r="A3">
        <f>A2+0.005</f>
        <v>1.4999999999999999E-2</v>
      </c>
      <c r="B3">
        <v>40</v>
      </c>
      <c r="C3">
        <f>C2+0.05</f>
        <v>0.1</v>
      </c>
      <c r="D3">
        <f>D2</f>
        <v>30</v>
      </c>
      <c r="E3">
        <v>11.908642118962577</v>
      </c>
    </row>
    <row r="4" spans="1:5" x14ac:dyDescent="0.25">
      <c r="A4">
        <f t="shared" ref="A4:A20" si="0">A3+0.005</f>
        <v>0.02</v>
      </c>
      <c r="B4">
        <v>40</v>
      </c>
      <c r="C4">
        <f>C3+0.05</f>
        <v>0.15000000000000002</v>
      </c>
      <c r="D4">
        <f>D3</f>
        <v>30</v>
      </c>
      <c r="E4">
        <v>12.959995821246475</v>
      </c>
    </row>
    <row r="5" spans="1:5" x14ac:dyDescent="0.25">
      <c r="A5">
        <f t="shared" si="0"/>
        <v>2.5000000000000001E-2</v>
      </c>
      <c r="B5">
        <v>40</v>
      </c>
      <c r="C5">
        <f>C4+0.05</f>
        <v>0.2</v>
      </c>
      <c r="D5">
        <f>D4</f>
        <v>30</v>
      </c>
      <c r="E5">
        <v>13.903947782511816</v>
      </c>
    </row>
    <row r="6" spans="1:5" x14ac:dyDescent="0.25">
      <c r="A6">
        <f t="shared" si="0"/>
        <v>3.0000000000000002E-2</v>
      </c>
      <c r="B6">
        <v>40</v>
      </c>
      <c r="C6">
        <f>C2</f>
        <v>0.05</v>
      </c>
      <c r="D6">
        <f>D5</f>
        <v>30</v>
      </c>
      <c r="E6">
        <v>12.71198535681545</v>
      </c>
    </row>
    <row r="7" spans="1:5" x14ac:dyDescent="0.25">
      <c r="A7">
        <f t="shared" si="0"/>
        <v>3.5000000000000003E-2</v>
      </c>
      <c r="B7">
        <f>B2+2</f>
        <v>42</v>
      </c>
      <c r="C7">
        <f t="shared" ref="C7:C20" si="1">C3</f>
        <v>0.1</v>
      </c>
      <c r="D7">
        <f>D2+2</f>
        <v>32</v>
      </c>
      <c r="E7">
        <v>13.330178442428071</v>
      </c>
    </row>
    <row r="8" spans="1:5" x14ac:dyDescent="0.25">
      <c r="A8">
        <f t="shared" si="0"/>
        <v>0.04</v>
      </c>
      <c r="B8">
        <f t="shared" ref="B8:B20" si="2">B3+2</f>
        <v>42</v>
      </c>
      <c r="C8">
        <f t="shared" si="1"/>
        <v>0.15000000000000002</v>
      </c>
      <c r="D8">
        <f t="shared" ref="D8:D20" si="3">D3+2</f>
        <v>32</v>
      </c>
      <c r="E8">
        <v>13.838382119335684</v>
      </c>
    </row>
    <row r="9" spans="1:5" x14ac:dyDescent="0.25">
      <c r="A9">
        <f t="shared" si="0"/>
        <v>4.4999999999999998E-2</v>
      </c>
      <c r="B9">
        <f t="shared" si="2"/>
        <v>42</v>
      </c>
      <c r="C9">
        <f t="shared" si="1"/>
        <v>0.2</v>
      </c>
      <c r="D9">
        <f t="shared" si="3"/>
        <v>32</v>
      </c>
      <c r="E9">
        <v>14.37994562008832</v>
      </c>
    </row>
    <row r="10" spans="1:5" x14ac:dyDescent="0.25">
      <c r="A10">
        <f t="shared" si="0"/>
        <v>4.9999999999999996E-2</v>
      </c>
      <c r="B10">
        <f t="shared" si="2"/>
        <v>42</v>
      </c>
      <c r="C10">
        <f t="shared" si="1"/>
        <v>0.05</v>
      </c>
      <c r="D10">
        <f t="shared" si="3"/>
        <v>32</v>
      </c>
      <c r="E10">
        <v>13.706170046860862</v>
      </c>
    </row>
    <row r="11" spans="1:5" x14ac:dyDescent="0.25">
      <c r="A11">
        <f t="shared" si="0"/>
        <v>5.4999999999999993E-2</v>
      </c>
      <c r="B11">
        <f t="shared" si="2"/>
        <v>42</v>
      </c>
      <c r="C11">
        <f t="shared" si="1"/>
        <v>0.1</v>
      </c>
      <c r="D11">
        <f t="shared" si="3"/>
        <v>32</v>
      </c>
      <c r="E11">
        <v>13.770203968165839</v>
      </c>
    </row>
    <row r="12" spans="1:5" x14ac:dyDescent="0.25">
      <c r="A12">
        <f t="shared" si="0"/>
        <v>5.9999999999999991E-2</v>
      </c>
      <c r="B12">
        <f t="shared" si="2"/>
        <v>44</v>
      </c>
      <c r="C12">
        <f t="shared" si="1"/>
        <v>0.15000000000000002</v>
      </c>
      <c r="D12">
        <f t="shared" si="3"/>
        <v>34</v>
      </c>
      <c r="E12">
        <v>14.368342066553955</v>
      </c>
    </row>
    <row r="13" spans="1:5" x14ac:dyDescent="0.25">
      <c r="A13">
        <f t="shared" si="0"/>
        <v>6.4999999999999988E-2</v>
      </c>
      <c r="B13">
        <f t="shared" si="2"/>
        <v>44</v>
      </c>
      <c r="C13">
        <f t="shared" si="1"/>
        <v>0.2</v>
      </c>
      <c r="D13">
        <f t="shared" si="3"/>
        <v>34</v>
      </c>
      <c r="E13">
        <v>14.600394284843953</v>
      </c>
    </row>
    <row r="14" spans="1:5" x14ac:dyDescent="0.25">
      <c r="A14">
        <f t="shared" si="0"/>
        <v>6.9999999999999993E-2</v>
      </c>
      <c r="B14">
        <f t="shared" si="2"/>
        <v>44</v>
      </c>
      <c r="C14">
        <f t="shared" si="1"/>
        <v>0.05</v>
      </c>
      <c r="D14">
        <f t="shared" si="3"/>
        <v>34</v>
      </c>
      <c r="E14">
        <v>14.19496215582201</v>
      </c>
    </row>
    <row r="15" spans="1:5" x14ac:dyDescent="0.25">
      <c r="A15">
        <f t="shared" si="0"/>
        <v>7.4999999999999997E-2</v>
      </c>
      <c r="B15">
        <f t="shared" si="2"/>
        <v>44</v>
      </c>
      <c r="C15">
        <f t="shared" si="1"/>
        <v>0.1</v>
      </c>
      <c r="D15">
        <f t="shared" si="3"/>
        <v>34</v>
      </c>
      <c r="E15">
        <v>14.131015963715038</v>
      </c>
    </row>
    <row r="16" spans="1:5" x14ac:dyDescent="0.25">
      <c r="A16">
        <f t="shared" si="0"/>
        <v>0.08</v>
      </c>
      <c r="B16">
        <f t="shared" si="2"/>
        <v>44</v>
      </c>
      <c r="C16">
        <f t="shared" si="1"/>
        <v>0.15000000000000002</v>
      </c>
      <c r="D16">
        <f t="shared" si="3"/>
        <v>34</v>
      </c>
      <c r="E16">
        <v>14.074083902851923</v>
      </c>
    </row>
    <row r="17" spans="1:5" x14ac:dyDescent="0.25">
      <c r="A17">
        <f t="shared" si="0"/>
        <v>8.5000000000000006E-2</v>
      </c>
      <c r="B17">
        <f t="shared" si="2"/>
        <v>46</v>
      </c>
      <c r="C17">
        <f t="shared" si="1"/>
        <v>0.2</v>
      </c>
      <c r="D17">
        <f t="shared" si="3"/>
        <v>36</v>
      </c>
      <c r="E17">
        <v>14.577936491940184</v>
      </c>
    </row>
    <row r="18" spans="1:5" x14ac:dyDescent="0.25">
      <c r="A18">
        <f t="shared" si="0"/>
        <v>9.0000000000000011E-2</v>
      </c>
      <c r="B18">
        <f t="shared" si="2"/>
        <v>46</v>
      </c>
      <c r="C18">
        <f t="shared" si="1"/>
        <v>0.05</v>
      </c>
      <c r="D18">
        <f t="shared" si="3"/>
        <v>36</v>
      </c>
      <c r="E18">
        <v>14.288056969933109</v>
      </c>
    </row>
    <row r="19" spans="1:5" x14ac:dyDescent="0.25">
      <c r="A19">
        <f t="shared" si="0"/>
        <v>9.5000000000000015E-2</v>
      </c>
      <c r="B19">
        <f t="shared" si="2"/>
        <v>46</v>
      </c>
      <c r="C19">
        <f t="shared" si="1"/>
        <v>0.1</v>
      </c>
      <c r="D19">
        <f t="shared" si="3"/>
        <v>36</v>
      </c>
      <c r="E19">
        <v>14.135401033305214</v>
      </c>
    </row>
    <row r="20" spans="1:5" x14ac:dyDescent="0.25">
      <c r="A20">
        <f t="shared" si="0"/>
        <v>0.10000000000000002</v>
      </c>
      <c r="B20">
        <f t="shared" si="2"/>
        <v>46</v>
      </c>
      <c r="C20">
        <f t="shared" si="1"/>
        <v>0.15000000000000002</v>
      </c>
      <c r="D20">
        <f t="shared" si="3"/>
        <v>36</v>
      </c>
      <c r="E20">
        <v>13.97173205309025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6"/>
  <sheetViews>
    <sheetView workbookViewId="0">
      <selection activeCell="A4" sqref="A4:B6"/>
    </sheetView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>
        <v>1</v>
      </c>
    </row>
    <row r="5" spans="1:2" x14ac:dyDescent="0.25">
      <c r="A5" t="s">
        <v>4</v>
      </c>
    </row>
    <row r="6" spans="1:2" x14ac:dyDescent="0.25">
      <c r="A6" t="s">
        <v>5</v>
      </c>
      <c r="B6">
        <v>1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options</vt:lpstr>
      <vt:lpstr>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Nicolas Essis-Breton</cp:lastModifiedBy>
  <dcterms:created xsi:type="dcterms:W3CDTF">2015-01-25T11:31:25Z</dcterms:created>
  <dcterms:modified xsi:type="dcterms:W3CDTF">2018-05-29T18:18:14Z</dcterms:modified>
</cp:coreProperties>
</file>